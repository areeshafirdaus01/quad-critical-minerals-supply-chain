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reesha Firdaus\Desktop\P3\"/>
    </mc:Choice>
  </mc:AlternateContent>
  <xr:revisionPtr revIDLastSave="0" documentId="13_ncr:1_{470B2C0C-5874-4682-B4E4-089C9D15E840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Dependency" sheetId="1" r:id="rId1"/>
    <sheet name="2024_dependency" sheetId="2" r:id="rId2"/>
    <sheet name="Project_Stats" sheetId="3" r:id="rId3"/>
    <sheet name="China_restrictions" sheetId="4" r:id="rId4"/>
  </sheets>
  <definedNames>
    <definedName name="_xlnm._FilterDatabase" localSheetId="0" hidden="1">Dependency!$A$1:$J$73</definedName>
  </definedNames>
  <calcPr calcId="0"/>
</workbook>
</file>

<file path=xl/sharedStrings.xml><?xml version="1.0" encoding="utf-8"?>
<sst xmlns="http://schemas.openxmlformats.org/spreadsheetml/2006/main" count="356" uniqueCount="50">
  <si>
    <t>Year</t>
  </si>
  <si>
    <t>Exporter_China</t>
  </si>
  <si>
    <t>Importer</t>
  </si>
  <si>
    <t>cmdCode</t>
  </si>
  <si>
    <t>Description</t>
  </si>
  <si>
    <t>Value in millions_China</t>
  </si>
  <si>
    <t>Exporter_World</t>
  </si>
  <si>
    <t>Value in millions_World</t>
  </si>
  <si>
    <t>China_Dependency_%</t>
  </si>
  <si>
    <t>China</t>
  </si>
  <si>
    <t>Australia</t>
  </si>
  <si>
    <t>Graphite</t>
  </si>
  <si>
    <t>World</t>
  </si>
  <si>
    <t>Cobalt</t>
  </si>
  <si>
    <t>Lithium</t>
  </si>
  <si>
    <t>India</t>
  </si>
  <si>
    <t>Japan</t>
  </si>
  <si>
    <t>USA</t>
  </si>
  <si>
    <t>Start_Dependency</t>
  </si>
  <si>
    <t>End_Dependency</t>
  </si>
  <si>
    <t>CAGR_%</t>
  </si>
  <si>
    <t>ATLAS Neves Lithium</t>
  </si>
  <si>
    <t>Project / Initiative</t>
  </si>
  <si>
    <t>Country Coalition</t>
  </si>
  <si>
    <t>Lifecycle Status</t>
  </si>
  <si>
    <t>QUAD Minerals Framework</t>
  </si>
  <si>
    <t>US / AUS / JPN / IND</t>
  </si>
  <si>
    <t>Policy Formulation</t>
  </si>
  <si>
    <t>Alaska Graphite (Graphite One)</t>
  </si>
  <si>
    <t>US Only</t>
  </si>
  <si>
    <t>Permitting / Pilot Phase</t>
  </si>
  <si>
    <t>Sumitomo Metal (Nickel/Cobalt)</t>
  </si>
  <si>
    <t>JPN / US / AUS</t>
  </si>
  <si>
    <t>Early Construction</t>
  </si>
  <si>
    <t>Alcoa Gallium (Wagerup Refinery)</t>
  </si>
  <si>
    <t>AUS / US / JPN</t>
  </si>
  <si>
    <t>Advanced Engineering</t>
  </si>
  <si>
    <t>Kalgoorlie Nickel (Ardea Resources)</t>
  </si>
  <si>
    <t>DFS Finalization Phase</t>
  </si>
  <si>
    <t>BRA / JPN / US</t>
  </si>
  <si>
    <t>Mechanical Assembly</t>
  </si>
  <si>
    <t>Date</t>
  </si>
  <si>
    <t>Event</t>
  </si>
  <si>
    <t>Gallium restrictions. Prices +56% in 2 months.</t>
  </si>
  <si>
    <t>Oct–Dec 2023</t>
  </si>
  <si>
    <t>Graphite licensing required. Emergency stockpiling.</t>
  </si>
  <si>
    <t>India diversifies graphite: 43.5% → 10.4%</t>
  </si>
  <si>
    <t>QUAD Minerals Framework — no investment yet.</t>
  </si>
  <si>
    <t>2027–2028</t>
  </si>
  <si>
    <t>Earliest operational dates for any QUAD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</si>
</sst>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3"/>
  <sheetViews>
    <sheetView zoomScale="79" workbookViewId="0">
      <selection activeCell="O67" sqref="O67"/>
    </sheetView>
  </sheetViews>
  <sheetFormatPr defaultRowHeight="14.4" x14ac:dyDescent="0.3"/>
  <cols>
    <col min="3" max="3" width="14" bestFit="1" customWidth="1"/>
    <col min="4" max="4" width="8.44140625" bestFit="1" customWidth="1"/>
    <col min="6" max="6" width="10.44140625" bestFit="1" customWidth="1"/>
    <col min="7" max="7" width="20.6640625" bestFit="1" customWidth="1"/>
    <col min="8" max="8" width="14.33203125" bestFit="1" customWidth="1"/>
    <col min="9" max="9" width="21" bestFit="1" customWidth="1"/>
    <col min="10" max="10" width="20" bestFit="1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idden="1" x14ac:dyDescent="0.3">
      <c r="A2" s="1">
        <v>0</v>
      </c>
      <c r="B2">
        <v>2019</v>
      </c>
      <c r="C2" t="s">
        <v>9</v>
      </c>
      <c r="D2" t="s">
        <v>10</v>
      </c>
      <c r="E2">
        <v>2504</v>
      </c>
      <c r="F2" t="s">
        <v>11</v>
      </c>
      <c r="G2">
        <v>0.26</v>
      </c>
      <c r="H2" t="s">
        <v>12</v>
      </c>
      <c r="I2">
        <v>0.92700000000000005</v>
      </c>
      <c r="J2">
        <v>28.05</v>
      </c>
    </row>
    <row r="3" spans="1:10" hidden="1" x14ac:dyDescent="0.3">
      <c r="A3" s="1">
        <v>1</v>
      </c>
      <c r="B3">
        <v>2019</v>
      </c>
      <c r="C3" t="s">
        <v>9</v>
      </c>
      <c r="D3" t="s">
        <v>10</v>
      </c>
      <c r="E3">
        <v>2822</v>
      </c>
      <c r="F3" t="s">
        <v>13</v>
      </c>
      <c r="G3">
        <v>0.499</v>
      </c>
      <c r="H3" t="s">
        <v>12</v>
      </c>
      <c r="I3">
        <v>0.57999999999999996</v>
      </c>
      <c r="J3">
        <v>86.03</v>
      </c>
    </row>
    <row r="4" spans="1:10" hidden="1" x14ac:dyDescent="0.3">
      <c r="A4" s="1">
        <v>2</v>
      </c>
      <c r="B4">
        <v>2019</v>
      </c>
      <c r="C4" t="s">
        <v>9</v>
      </c>
      <c r="D4" t="s">
        <v>10</v>
      </c>
      <c r="E4">
        <v>282520</v>
      </c>
      <c r="F4" t="s">
        <v>14</v>
      </c>
      <c r="G4">
        <v>0.53800000000000003</v>
      </c>
      <c r="H4" t="s">
        <v>12</v>
      </c>
      <c r="I4">
        <v>2.1669999999999998</v>
      </c>
      <c r="J4">
        <v>24.83</v>
      </c>
    </row>
    <row r="5" spans="1:10" hidden="1" x14ac:dyDescent="0.3">
      <c r="A5" s="1">
        <v>3</v>
      </c>
      <c r="B5">
        <v>2019</v>
      </c>
      <c r="C5" t="s">
        <v>9</v>
      </c>
      <c r="D5" t="s">
        <v>15</v>
      </c>
      <c r="E5">
        <v>2504</v>
      </c>
      <c r="F5" t="s">
        <v>11</v>
      </c>
      <c r="G5">
        <v>15.022</v>
      </c>
      <c r="H5" t="s">
        <v>12</v>
      </c>
      <c r="I5">
        <v>29.824999999999999</v>
      </c>
      <c r="J5">
        <v>50.37</v>
      </c>
    </row>
    <row r="6" spans="1:10" hidden="1" x14ac:dyDescent="0.3">
      <c r="A6" s="1">
        <v>4</v>
      </c>
      <c r="B6">
        <v>2019</v>
      </c>
      <c r="C6" t="s">
        <v>9</v>
      </c>
      <c r="D6" t="s">
        <v>15</v>
      </c>
      <c r="E6">
        <v>2822</v>
      </c>
      <c r="F6" t="s">
        <v>13</v>
      </c>
      <c r="G6">
        <v>0.77100000000000002</v>
      </c>
      <c r="H6" t="s">
        <v>12</v>
      </c>
      <c r="I6">
        <v>7.2489999999999997</v>
      </c>
      <c r="J6">
        <v>10.64</v>
      </c>
    </row>
    <row r="7" spans="1:10" hidden="1" x14ac:dyDescent="0.3">
      <c r="A7" s="1">
        <v>5</v>
      </c>
      <c r="B7">
        <v>2019</v>
      </c>
      <c r="C7" t="s">
        <v>9</v>
      </c>
      <c r="D7" t="s">
        <v>15</v>
      </c>
      <c r="E7">
        <v>282520</v>
      </c>
      <c r="F7" t="s">
        <v>14</v>
      </c>
      <c r="G7">
        <v>6.1020000000000003</v>
      </c>
      <c r="H7" t="s">
        <v>12</v>
      </c>
      <c r="I7">
        <v>23.152000000000001</v>
      </c>
      <c r="J7">
        <v>26.36</v>
      </c>
    </row>
    <row r="8" spans="1:10" hidden="1" x14ac:dyDescent="0.3">
      <c r="A8" s="1">
        <v>6</v>
      </c>
      <c r="B8">
        <v>2019</v>
      </c>
      <c r="C8" t="s">
        <v>9</v>
      </c>
      <c r="D8" t="s">
        <v>16</v>
      </c>
      <c r="E8">
        <v>2504</v>
      </c>
      <c r="F8" t="s">
        <v>11</v>
      </c>
      <c r="G8">
        <v>95.22</v>
      </c>
      <c r="H8" t="s">
        <v>12</v>
      </c>
      <c r="I8">
        <v>102.663</v>
      </c>
      <c r="J8">
        <v>92.75</v>
      </c>
    </row>
    <row r="9" spans="1:10" hidden="1" x14ac:dyDescent="0.3">
      <c r="A9" s="1">
        <v>7</v>
      </c>
      <c r="B9">
        <v>2019</v>
      </c>
      <c r="C9" t="s">
        <v>9</v>
      </c>
      <c r="D9" t="s">
        <v>16</v>
      </c>
      <c r="E9">
        <v>2822</v>
      </c>
      <c r="F9" t="s">
        <v>13</v>
      </c>
      <c r="G9">
        <v>10.962999999999999</v>
      </c>
      <c r="H9" t="s">
        <v>12</v>
      </c>
      <c r="I9">
        <v>27.867000000000001</v>
      </c>
      <c r="J9">
        <v>39.340000000000003</v>
      </c>
    </row>
    <row r="10" spans="1:10" hidden="1" x14ac:dyDescent="0.3">
      <c r="A10" s="1">
        <v>8</v>
      </c>
      <c r="B10">
        <v>2019</v>
      </c>
      <c r="C10" t="s">
        <v>9</v>
      </c>
      <c r="D10" t="s">
        <v>16</v>
      </c>
      <c r="E10">
        <v>282520</v>
      </c>
      <c r="F10" t="s">
        <v>14</v>
      </c>
      <c r="G10">
        <v>383.65800000000002</v>
      </c>
      <c r="H10" t="s">
        <v>12</v>
      </c>
      <c r="I10">
        <v>485.62900000000002</v>
      </c>
      <c r="J10">
        <v>79</v>
      </c>
    </row>
    <row r="11" spans="1:10" hidden="1" x14ac:dyDescent="0.3">
      <c r="A11" s="1">
        <v>9</v>
      </c>
      <c r="B11">
        <v>2019</v>
      </c>
      <c r="C11" t="s">
        <v>9</v>
      </c>
      <c r="D11" t="s">
        <v>17</v>
      </c>
      <c r="E11">
        <v>2504</v>
      </c>
      <c r="F11" t="s">
        <v>11</v>
      </c>
      <c r="G11">
        <v>24.361000000000001</v>
      </c>
      <c r="H11" t="s">
        <v>12</v>
      </c>
      <c r="I11">
        <v>59.715000000000003</v>
      </c>
      <c r="J11">
        <v>40.799999999999997</v>
      </c>
    </row>
    <row r="12" spans="1:10" hidden="1" x14ac:dyDescent="0.3">
      <c r="A12" s="1">
        <v>10</v>
      </c>
      <c r="B12">
        <v>2019</v>
      </c>
      <c r="C12" t="s">
        <v>9</v>
      </c>
      <c r="D12" t="s">
        <v>17</v>
      </c>
      <c r="E12">
        <v>2822</v>
      </c>
      <c r="F12" t="s">
        <v>13</v>
      </c>
      <c r="G12">
        <v>5.101</v>
      </c>
      <c r="H12" t="s">
        <v>12</v>
      </c>
      <c r="I12">
        <v>44.613</v>
      </c>
      <c r="J12">
        <v>11.43</v>
      </c>
    </row>
    <row r="13" spans="1:10" hidden="1" x14ac:dyDescent="0.3">
      <c r="A13" s="1">
        <v>11</v>
      </c>
      <c r="B13">
        <v>2019</v>
      </c>
      <c r="C13" t="s">
        <v>9</v>
      </c>
      <c r="D13" t="s">
        <v>17</v>
      </c>
      <c r="E13">
        <v>282520</v>
      </c>
      <c r="F13" t="s">
        <v>14</v>
      </c>
      <c r="G13">
        <v>1.851</v>
      </c>
      <c r="H13" t="s">
        <v>12</v>
      </c>
      <c r="I13">
        <v>18.559999999999999</v>
      </c>
      <c r="J13">
        <v>9.9700000000000006</v>
      </c>
    </row>
    <row r="14" spans="1:10" hidden="1" x14ac:dyDescent="0.3">
      <c r="A14" s="1">
        <v>12</v>
      </c>
      <c r="B14">
        <v>2020</v>
      </c>
      <c r="C14" t="s">
        <v>9</v>
      </c>
      <c r="D14" t="s">
        <v>10</v>
      </c>
      <c r="E14">
        <v>2504</v>
      </c>
      <c r="F14" t="s">
        <v>11</v>
      </c>
      <c r="G14">
        <v>0.29399999999999998</v>
      </c>
      <c r="H14" t="s">
        <v>12</v>
      </c>
      <c r="I14">
        <v>0.94299999999999995</v>
      </c>
      <c r="J14">
        <v>31.18</v>
      </c>
    </row>
    <row r="15" spans="1:10" hidden="1" x14ac:dyDescent="0.3">
      <c r="A15" s="1">
        <v>13</v>
      </c>
      <c r="B15">
        <v>2020</v>
      </c>
      <c r="C15" t="s">
        <v>9</v>
      </c>
      <c r="D15" t="s">
        <v>10</v>
      </c>
      <c r="E15">
        <v>2822</v>
      </c>
      <c r="F15" t="s">
        <v>13</v>
      </c>
      <c r="G15">
        <v>0.34899999999999998</v>
      </c>
      <c r="H15" t="s">
        <v>12</v>
      </c>
      <c r="I15">
        <v>0.53</v>
      </c>
      <c r="J15">
        <v>65.849999999999994</v>
      </c>
    </row>
    <row r="16" spans="1:10" hidden="1" x14ac:dyDescent="0.3">
      <c r="A16" s="1">
        <v>14</v>
      </c>
      <c r="B16">
        <v>2020</v>
      </c>
      <c r="C16" t="s">
        <v>9</v>
      </c>
      <c r="D16" t="s">
        <v>10</v>
      </c>
      <c r="E16">
        <v>282520</v>
      </c>
      <c r="F16" t="s">
        <v>14</v>
      </c>
      <c r="G16">
        <v>0.40699999999999997</v>
      </c>
      <c r="H16" t="s">
        <v>12</v>
      </c>
      <c r="I16">
        <v>1.0589999999999999</v>
      </c>
      <c r="J16">
        <v>38.43</v>
      </c>
    </row>
    <row r="17" spans="1:10" hidden="1" x14ac:dyDescent="0.3">
      <c r="A17" s="1">
        <v>15</v>
      </c>
      <c r="B17">
        <v>2020</v>
      </c>
      <c r="C17" t="s">
        <v>9</v>
      </c>
      <c r="D17" t="s">
        <v>15</v>
      </c>
      <c r="E17">
        <v>2504</v>
      </c>
      <c r="F17" t="s">
        <v>11</v>
      </c>
      <c r="G17">
        <v>10.839</v>
      </c>
      <c r="H17" t="s">
        <v>12</v>
      </c>
      <c r="I17">
        <v>22.776</v>
      </c>
      <c r="J17">
        <v>47.59</v>
      </c>
    </row>
    <row r="18" spans="1:10" hidden="1" x14ac:dyDescent="0.3">
      <c r="A18" s="1">
        <v>16</v>
      </c>
      <c r="B18">
        <v>2020</v>
      </c>
      <c r="C18" t="s">
        <v>9</v>
      </c>
      <c r="D18" t="s">
        <v>15</v>
      </c>
      <c r="E18">
        <v>2822</v>
      </c>
      <c r="F18" t="s">
        <v>13</v>
      </c>
      <c r="G18">
        <v>1.7649999999999999</v>
      </c>
      <c r="H18" t="s">
        <v>12</v>
      </c>
      <c r="I18">
        <v>5.968</v>
      </c>
      <c r="J18">
        <v>29.57</v>
      </c>
    </row>
    <row r="19" spans="1:10" hidden="1" x14ac:dyDescent="0.3">
      <c r="A19" s="1">
        <v>17</v>
      </c>
      <c r="B19">
        <v>2020</v>
      </c>
      <c r="C19" t="s">
        <v>9</v>
      </c>
      <c r="D19" t="s">
        <v>15</v>
      </c>
      <c r="E19">
        <v>282520</v>
      </c>
      <c r="F19" t="s">
        <v>14</v>
      </c>
      <c r="G19">
        <v>2.2330000000000001</v>
      </c>
      <c r="H19" t="s">
        <v>12</v>
      </c>
      <c r="I19">
        <v>12.484999999999999</v>
      </c>
      <c r="J19">
        <v>17.89</v>
      </c>
    </row>
    <row r="20" spans="1:10" hidden="1" x14ac:dyDescent="0.3">
      <c r="A20" s="1">
        <v>18</v>
      </c>
      <c r="B20">
        <v>2020</v>
      </c>
      <c r="C20" t="s">
        <v>9</v>
      </c>
      <c r="D20" t="s">
        <v>16</v>
      </c>
      <c r="E20">
        <v>2504</v>
      </c>
      <c r="F20" t="s">
        <v>11</v>
      </c>
      <c r="G20">
        <v>60.619</v>
      </c>
      <c r="H20" t="s">
        <v>12</v>
      </c>
      <c r="I20">
        <v>66.186000000000007</v>
      </c>
      <c r="J20">
        <v>91.59</v>
      </c>
    </row>
    <row r="21" spans="1:10" hidden="1" x14ac:dyDescent="0.3">
      <c r="A21" s="1">
        <v>19</v>
      </c>
      <c r="B21">
        <v>2020</v>
      </c>
      <c r="C21" t="s">
        <v>9</v>
      </c>
      <c r="D21" t="s">
        <v>16</v>
      </c>
      <c r="E21">
        <v>2822</v>
      </c>
      <c r="F21" t="s">
        <v>13</v>
      </c>
      <c r="G21">
        <v>8.8610000000000007</v>
      </c>
      <c r="H21" t="s">
        <v>12</v>
      </c>
      <c r="I21">
        <v>24.132999999999999</v>
      </c>
      <c r="J21">
        <v>36.72</v>
      </c>
    </row>
    <row r="22" spans="1:10" hidden="1" x14ac:dyDescent="0.3">
      <c r="A22" s="1">
        <v>20</v>
      </c>
      <c r="B22">
        <v>2020</v>
      </c>
      <c r="C22" t="s">
        <v>9</v>
      </c>
      <c r="D22" t="s">
        <v>16</v>
      </c>
      <c r="E22">
        <v>282520</v>
      </c>
      <c r="F22" t="s">
        <v>14</v>
      </c>
      <c r="G22">
        <v>312.85899999999998</v>
      </c>
      <c r="H22" t="s">
        <v>12</v>
      </c>
      <c r="I22">
        <v>391.88499999999999</v>
      </c>
      <c r="J22">
        <v>79.83</v>
      </c>
    </row>
    <row r="23" spans="1:10" hidden="1" x14ac:dyDescent="0.3">
      <c r="A23" s="1">
        <v>21</v>
      </c>
      <c r="B23">
        <v>2020</v>
      </c>
      <c r="C23" t="s">
        <v>9</v>
      </c>
      <c r="D23" t="s">
        <v>17</v>
      </c>
      <c r="E23">
        <v>2504</v>
      </c>
      <c r="F23" t="s">
        <v>11</v>
      </c>
      <c r="G23">
        <v>18.376000000000001</v>
      </c>
      <c r="H23" t="s">
        <v>12</v>
      </c>
      <c r="I23">
        <v>47.877000000000002</v>
      </c>
      <c r="J23">
        <v>38.380000000000003</v>
      </c>
    </row>
    <row r="24" spans="1:10" hidden="1" x14ac:dyDescent="0.3">
      <c r="A24" s="1">
        <v>22</v>
      </c>
      <c r="B24">
        <v>2020</v>
      </c>
      <c r="C24" t="s">
        <v>9</v>
      </c>
      <c r="D24" t="s">
        <v>17</v>
      </c>
      <c r="E24">
        <v>2822</v>
      </c>
      <c r="F24" t="s">
        <v>13</v>
      </c>
      <c r="G24">
        <v>0.96099999999999997</v>
      </c>
      <c r="H24" t="s">
        <v>12</v>
      </c>
      <c r="I24">
        <v>30.902999999999999</v>
      </c>
      <c r="J24">
        <v>3.11</v>
      </c>
    </row>
    <row r="25" spans="1:10" hidden="1" x14ac:dyDescent="0.3">
      <c r="A25" s="1">
        <v>23</v>
      </c>
      <c r="B25">
        <v>2020</v>
      </c>
      <c r="C25" t="s">
        <v>9</v>
      </c>
      <c r="D25" t="s">
        <v>17</v>
      </c>
      <c r="E25">
        <v>282520</v>
      </c>
      <c r="F25" t="s">
        <v>14</v>
      </c>
      <c r="G25">
        <v>0.218</v>
      </c>
      <c r="H25" t="s">
        <v>12</v>
      </c>
      <c r="I25">
        <v>14.981999999999999</v>
      </c>
      <c r="J25">
        <v>1.46</v>
      </c>
    </row>
    <row r="26" spans="1:10" hidden="1" x14ac:dyDescent="0.3">
      <c r="A26" s="1">
        <v>24</v>
      </c>
      <c r="B26">
        <v>2021</v>
      </c>
      <c r="C26" t="s">
        <v>9</v>
      </c>
      <c r="D26" t="s">
        <v>10</v>
      </c>
      <c r="E26">
        <v>2504</v>
      </c>
      <c r="F26" t="s">
        <v>11</v>
      </c>
      <c r="G26">
        <v>0.29299999999999998</v>
      </c>
      <c r="H26" t="s">
        <v>12</v>
      </c>
      <c r="I26">
        <v>1.0489999999999999</v>
      </c>
      <c r="J26">
        <v>27.93</v>
      </c>
    </row>
    <row r="27" spans="1:10" hidden="1" x14ac:dyDescent="0.3">
      <c r="A27" s="1">
        <v>25</v>
      </c>
      <c r="B27">
        <v>2021</v>
      </c>
      <c r="C27" t="s">
        <v>9</v>
      </c>
      <c r="D27" t="s">
        <v>10</v>
      </c>
      <c r="E27">
        <v>2822</v>
      </c>
      <c r="F27" t="s">
        <v>13</v>
      </c>
      <c r="G27">
        <v>0.28699999999999998</v>
      </c>
      <c r="H27" t="s">
        <v>12</v>
      </c>
      <c r="I27">
        <v>0.48399999999999999</v>
      </c>
      <c r="J27">
        <v>59.3</v>
      </c>
    </row>
    <row r="28" spans="1:10" hidden="1" x14ac:dyDescent="0.3">
      <c r="A28" s="1">
        <v>26</v>
      </c>
      <c r="B28">
        <v>2021</v>
      </c>
      <c r="C28" t="s">
        <v>9</v>
      </c>
      <c r="D28" t="s">
        <v>10</v>
      </c>
      <c r="E28">
        <v>282520</v>
      </c>
      <c r="F28" t="s">
        <v>14</v>
      </c>
      <c r="G28">
        <v>0.38200000000000001</v>
      </c>
      <c r="H28" t="s">
        <v>12</v>
      </c>
      <c r="I28">
        <v>3.3490000000000002</v>
      </c>
      <c r="J28">
        <v>11.41</v>
      </c>
    </row>
    <row r="29" spans="1:10" hidden="1" x14ac:dyDescent="0.3">
      <c r="A29" s="1">
        <v>27</v>
      </c>
      <c r="B29">
        <v>2021</v>
      </c>
      <c r="C29" t="s">
        <v>9</v>
      </c>
      <c r="D29" t="s">
        <v>15</v>
      </c>
      <c r="E29">
        <v>2504</v>
      </c>
      <c r="F29" t="s">
        <v>11</v>
      </c>
      <c r="G29">
        <v>12.273999999999999</v>
      </c>
      <c r="H29" t="s">
        <v>12</v>
      </c>
      <c r="I29">
        <v>31.713000000000001</v>
      </c>
      <c r="J29">
        <v>38.700000000000003</v>
      </c>
    </row>
    <row r="30" spans="1:10" hidden="1" x14ac:dyDescent="0.3">
      <c r="A30" s="1">
        <v>28</v>
      </c>
      <c r="B30">
        <v>2021</v>
      </c>
      <c r="C30" t="s">
        <v>9</v>
      </c>
      <c r="D30" t="s">
        <v>15</v>
      </c>
      <c r="E30">
        <v>2822</v>
      </c>
      <c r="F30" t="s">
        <v>13</v>
      </c>
      <c r="G30">
        <v>0.69799999999999995</v>
      </c>
      <c r="H30" t="s">
        <v>12</v>
      </c>
      <c r="I30">
        <v>8.3279999999999994</v>
      </c>
      <c r="J30">
        <v>8.3800000000000008</v>
      </c>
    </row>
    <row r="31" spans="1:10" hidden="1" x14ac:dyDescent="0.3">
      <c r="A31" s="1">
        <v>29</v>
      </c>
      <c r="B31">
        <v>2021</v>
      </c>
      <c r="C31" t="s">
        <v>9</v>
      </c>
      <c r="D31" t="s">
        <v>15</v>
      </c>
      <c r="E31">
        <v>282520</v>
      </c>
      <c r="F31" t="s">
        <v>14</v>
      </c>
      <c r="G31">
        <v>3.2810000000000001</v>
      </c>
      <c r="H31" t="s">
        <v>12</v>
      </c>
      <c r="I31">
        <v>24.116</v>
      </c>
      <c r="J31">
        <v>13.61</v>
      </c>
    </row>
    <row r="32" spans="1:10" hidden="1" x14ac:dyDescent="0.3">
      <c r="A32" s="1">
        <v>30</v>
      </c>
      <c r="B32">
        <v>2021</v>
      </c>
      <c r="C32" t="s">
        <v>9</v>
      </c>
      <c r="D32" t="s">
        <v>16</v>
      </c>
      <c r="E32">
        <v>2504</v>
      </c>
      <c r="F32" t="s">
        <v>11</v>
      </c>
      <c r="G32">
        <v>84.293999999999997</v>
      </c>
      <c r="H32" t="s">
        <v>12</v>
      </c>
      <c r="I32">
        <v>92.046999999999997</v>
      </c>
      <c r="J32">
        <v>91.58</v>
      </c>
    </row>
    <row r="33" spans="1:10" hidden="1" x14ac:dyDescent="0.3">
      <c r="A33" s="1">
        <v>31</v>
      </c>
      <c r="B33">
        <v>2021</v>
      </c>
      <c r="C33" t="s">
        <v>9</v>
      </c>
      <c r="D33" t="s">
        <v>16</v>
      </c>
      <c r="E33">
        <v>2822</v>
      </c>
      <c r="F33" t="s">
        <v>13</v>
      </c>
      <c r="G33">
        <v>8.8249999999999993</v>
      </c>
      <c r="H33" t="s">
        <v>12</v>
      </c>
      <c r="I33">
        <v>41.031999999999996</v>
      </c>
      <c r="J33">
        <v>21.51</v>
      </c>
    </row>
    <row r="34" spans="1:10" hidden="1" x14ac:dyDescent="0.3">
      <c r="A34" s="1">
        <v>32</v>
      </c>
      <c r="B34">
        <v>2021</v>
      </c>
      <c r="C34" t="s">
        <v>9</v>
      </c>
      <c r="D34" t="s">
        <v>16</v>
      </c>
      <c r="E34">
        <v>282520</v>
      </c>
      <c r="F34" t="s">
        <v>14</v>
      </c>
      <c r="G34">
        <v>314.10000000000002</v>
      </c>
      <c r="H34" t="s">
        <v>12</v>
      </c>
      <c r="I34">
        <v>388.51799999999997</v>
      </c>
      <c r="J34">
        <v>80.849999999999994</v>
      </c>
    </row>
    <row r="35" spans="1:10" hidden="1" x14ac:dyDescent="0.3">
      <c r="A35" s="1">
        <v>33</v>
      </c>
      <c r="B35">
        <v>2021</v>
      </c>
      <c r="C35" t="s">
        <v>9</v>
      </c>
      <c r="D35" t="s">
        <v>17</v>
      </c>
      <c r="E35">
        <v>2504</v>
      </c>
      <c r="F35" t="s">
        <v>11</v>
      </c>
      <c r="G35">
        <v>35.101999999999997</v>
      </c>
      <c r="H35" t="s">
        <v>12</v>
      </c>
      <c r="I35">
        <v>74.795000000000002</v>
      </c>
      <c r="J35">
        <v>46.93</v>
      </c>
    </row>
    <row r="36" spans="1:10" hidden="1" x14ac:dyDescent="0.3">
      <c r="A36" s="1">
        <v>34</v>
      </c>
      <c r="B36">
        <v>2021</v>
      </c>
      <c r="C36" t="s">
        <v>9</v>
      </c>
      <c r="D36" t="s">
        <v>17</v>
      </c>
      <c r="E36">
        <v>2822</v>
      </c>
      <c r="F36" t="s">
        <v>13</v>
      </c>
      <c r="G36">
        <v>1.599</v>
      </c>
      <c r="H36" t="s">
        <v>12</v>
      </c>
      <c r="I36">
        <v>75.733999999999995</v>
      </c>
      <c r="J36">
        <v>2.11</v>
      </c>
    </row>
    <row r="37" spans="1:10" hidden="1" x14ac:dyDescent="0.3">
      <c r="A37" s="1">
        <v>35</v>
      </c>
      <c r="B37">
        <v>2021</v>
      </c>
      <c r="C37" t="s">
        <v>9</v>
      </c>
      <c r="D37" t="s">
        <v>17</v>
      </c>
      <c r="E37">
        <v>282520</v>
      </c>
      <c r="F37" t="s">
        <v>14</v>
      </c>
      <c r="G37">
        <v>0.29899999999999999</v>
      </c>
      <c r="H37" t="s">
        <v>12</v>
      </c>
      <c r="I37">
        <v>19.216999999999999</v>
      </c>
      <c r="J37">
        <v>1.56</v>
      </c>
    </row>
    <row r="38" spans="1:10" x14ac:dyDescent="0.3">
      <c r="A38" s="1">
        <v>36</v>
      </c>
      <c r="B38">
        <v>2022</v>
      </c>
      <c r="C38" t="s">
        <v>9</v>
      </c>
      <c r="D38" t="s">
        <v>10</v>
      </c>
      <c r="E38">
        <v>2504</v>
      </c>
      <c r="F38" t="s">
        <v>11</v>
      </c>
      <c r="G38">
        <v>0.42199999999999999</v>
      </c>
      <c r="H38" t="s">
        <v>12</v>
      </c>
      <c r="I38">
        <v>0.94</v>
      </c>
      <c r="J38">
        <v>44.89</v>
      </c>
    </row>
    <row r="39" spans="1:10" x14ac:dyDescent="0.3">
      <c r="A39" s="1">
        <v>37</v>
      </c>
      <c r="B39">
        <v>2022</v>
      </c>
      <c r="C39" t="s">
        <v>9</v>
      </c>
      <c r="D39" t="s">
        <v>10</v>
      </c>
      <c r="E39">
        <v>2822</v>
      </c>
      <c r="F39" t="s">
        <v>13</v>
      </c>
      <c r="G39">
        <v>0.50900000000000001</v>
      </c>
      <c r="H39" t="s">
        <v>12</v>
      </c>
      <c r="I39">
        <v>0.80100000000000005</v>
      </c>
      <c r="J39">
        <v>63.55</v>
      </c>
    </row>
    <row r="40" spans="1:10" x14ac:dyDescent="0.3">
      <c r="A40" s="1">
        <v>38</v>
      </c>
      <c r="B40">
        <v>2022</v>
      </c>
      <c r="C40" t="s">
        <v>9</v>
      </c>
      <c r="D40" t="s">
        <v>10</v>
      </c>
      <c r="E40">
        <v>282520</v>
      </c>
      <c r="F40" t="s">
        <v>14</v>
      </c>
      <c r="G40">
        <v>0.28599999999999998</v>
      </c>
      <c r="H40" t="s">
        <v>12</v>
      </c>
      <c r="I40">
        <v>4.8339999999999996</v>
      </c>
      <c r="J40">
        <v>5.92</v>
      </c>
    </row>
    <row r="41" spans="1:10" x14ac:dyDescent="0.3">
      <c r="A41" s="1">
        <v>39</v>
      </c>
      <c r="B41">
        <v>2022</v>
      </c>
      <c r="C41" t="s">
        <v>9</v>
      </c>
      <c r="D41" t="s">
        <v>15</v>
      </c>
      <c r="E41">
        <v>2504</v>
      </c>
      <c r="F41" t="s">
        <v>11</v>
      </c>
      <c r="G41">
        <v>14.302</v>
      </c>
      <c r="H41" t="s">
        <v>12</v>
      </c>
      <c r="I41">
        <v>40.468000000000004</v>
      </c>
      <c r="J41">
        <v>35.340000000000003</v>
      </c>
    </row>
    <row r="42" spans="1:10" x14ac:dyDescent="0.3">
      <c r="A42" s="1">
        <v>40</v>
      </c>
      <c r="B42">
        <v>2022</v>
      </c>
      <c r="C42" t="s">
        <v>9</v>
      </c>
      <c r="D42" t="s">
        <v>15</v>
      </c>
      <c r="E42">
        <v>2822</v>
      </c>
      <c r="F42" t="s">
        <v>13</v>
      </c>
      <c r="G42">
        <v>1.379</v>
      </c>
      <c r="H42" t="s">
        <v>12</v>
      </c>
      <c r="I42">
        <v>17.34</v>
      </c>
      <c r="J42">
        <v>7.95</v>
      </c>
    </row>
    <row r="43" spans="1:10" x14ac:dyDescent="0.3">
      <c r="A43" s="1">
        <v>41</v>
      </c>
      <c r="B43">
        <v>2022</v>
      </c>
      <c r="C43" t="s">
        <v>9</v>
      </c>
      <c r="D43" t="s">
        <v>15</v>
      </c>
      <c r="E43">
        <v>282520</v>
      </c>
      <c r="F43" t="s">
        <v>14</v>
      </c>
      <c r="G43">
        <v>4.1029999999999998</v>
      </c>
      <c r="H43" t="s">
        <v>12</v>
      </c>
      <c r="I43">
        <v>67.257999999999996</v>
      </c>
      <c r="J43">
        <v>6.1</v>
      </c>
    </row>
    <row r="44" spans="1:10" x14ac:dyDescent="0.3">
      <c r="A44" s="1">
        <v>42</v>
      </c>
      <c r="B44">
        <v>2022</v>
      </c>
      <c r="C44" t="s">
        <v>9</v>
      </c>
      <c r="D44" t="s">
        <v>16</v>
      </c>
      <c r="E44">
        <v>2504</v>
      </c>
      <c r="F44" t="s">
        <v>11</v>
      </c>
      <c r="G44">
        <v>95.924999999999997</v>
      </c>
      <c r="H44" t="s">
        <v>12</v>
      </c>
      <c r="I44">
        <v>106.476</v>
      </c>
      <c r="J44">
        <v>90.09</v>
      </c>
    </row>
    <row r="45" spans="1:10" x14ac:dyDescent="0.3">
      <c r="A45" s="1">
        <v>43</v>
      </c>
      <c r="B45">
        <v>2022</v>
      </c>
      <c r="C45" t="s">
        <v>9</v>
      </c>
      <c r="D45" t="s">
        <v>16</v>
      </c>
      <c r="E45">
        <v>2822</v>
      </c>
      <c r="F45" t="s">
        <v>13</v>
      </c>
      <c r="G45">
        <v>7.8739999999999997</v>
      </c>
      <c r="H45" t="s">
        <v>12</v>
      </c>
      <c r="I45">
        <v>52.945999999999998</v>
      </c>
      <c r="J45">
        <v>14.87</v>
      </c>
    </row>
    <row r="46" spans="1:10" x14ac:dyDescent="0.3">
      <c r="A46" s="1">
        <v>44</v>
      </c>
      <c r="B46">
        <v>2022</v>
      </c>
      <c r="C46" t="s">
        <v>9</v>
      </c>
      <c r="D46" t="s">
        <v>16</v>
      </c>
      <c r="E46">
        <v>282520</v>
      </c>
      <c r="F46" t="s">
        <v>14</v>
      </c>
      <c r="G46">
        <v>1021.979</v>
      </c>
      <c r="H46" t="s">
        <v>12</v>
      </c>
      <c r="I46">
        <v>1155.865</v>
      </c>
      <c r="J46">
        <v>88.42</v>
      </c>
    </row>
    <row r="47" spans="1:10" x14ac:dyDescent="0.3">
      <c r="A47" s="1">
        <v>45</v>
      </c>
      <c r="B47">
        <v>2022</v>
      </c>
      <c r="C47" t="s">
        <v>9</v>
      </c>
      <c r="D47" t="s">
        <v>17</v>
      </c>
      <c r="E47">
        <v>2504</v>
      </c>
      <c r="F47" t="s">
        <v>11</v>
      </c>
      <c r="G47">
        <v>144.768</v>
      </c>
      <c r="H47" t="s">
        <v>12</v>
      </c>
      <c r="I47">
        <v>195.04400000000001</v>
      </c>
      <c r="J47">
        <v>74.22</v>
      </c>
    </row>
    <row r="48" spans="1:10" x14ac:dyDescent="0.3">
      <c r="A48" s="1">
        <v>46</v>
      </c>
      <c r="B48">
        <v>2022</v>
      </c>
      <c r="C48" t="s">
        <v>9</v>
      </c>
      <c r="D48" t="s">
        <v>17</v>
      </c>
      <c r="E48">
        <v>2822</v>
      </c>
      <c r="F48" t="s">
        <v>13</v>
      </c>
      <c r="G48">
        <v>1.5069999999999999</v>
      </c>
      <c r="H48" t="s">
        <v>12</v>
      </c>
      <c r="I48">
        <v>90.372</v>
      </c>
      <c r="J48">
        <v>1.67</v>
      </c>
    </row>
    <row r="49" spans="1:10" x14ac:dyDescent="0.3">
      <c r="A49" s="1">
        <v>47</v>
      </c>
      <c r="B49">
        <v>2022</v>
      </c>
      <c r="C49" t="s">
        <v>9</v>
      </c>
      <c r="D49" t="s">
        <v>17</v>
      </c>
      <c r="E49">
        <v>282520</v>
      </c>
      <c r="F49" t="s">
        <v>14</v>
      </c>
      <c r="G49">
        <v>0.55600000000000005</v>
      </c>
      <c r="H49" t="s">
        <v>12</v>
      </c>
      <c r="I49">
        <v>35.25</v>
      </c>
      <c r="J49">
        <v>1.58</v>
      </c>
    </row>
    <row r="50" spans="1:10" x14ac:dyDescent="0.3">
      <c r="A50" s="1">
        <v>48</v>
      </c>
      <c r="B50">
        <v>2023</v>
      </c>
      <c r="C50" t="s">
        <v>9</v>
      </c>
      <c r="D50" t="s">
        <v>10</v>
      </c>
      <c r="E50">
        <v>2504</v>
      </c>
      <c r="F50" t="s">
        <v>11</v>
      </c>
      <c r="G50">
        <v>0.26600000000000001</v>
      </c>
      <c r="H50" t="s">
        <v>12</v>
      </c>
      <c r="I50">
        <v>0.81200000000000006</v>
      </c>
      <c r="J50">
        <v>32.76</v>
      </c>
    </row>
    <row r="51" spans="1:10" x14ac:dyDescent="0.3">
      <c r="A51" s="1">
        <v>49</v>
      </c>
      <c r="B51">
        <v>2023</v>
      </c>
      <c r="C51" t="s">
        <v>9</v>
      </c>
      <c r="D51" t="s">
        <v>10</v>
      </c>
      <c r="E51">
        <v>2822</v>
      </c>
      <c r="F51" t="s">
        <v>13</v>
      </c>
      <c r="G51">
        <v>0.221</v>
      </c>
      <c r="H51" t="s">
        <v>12</v>
      </c>
      <c r="I51">
        <v>0.39</v>
      </c>
      <c r="J51">
        <v>56.67</v>
      </c>
    </row>
    <row r="52" spans="1:10" x14ac:dyDescent="0.3">
      <c r="A52" s="1">
        <v>50</v>
      </c>
      <c r="B52">
        <v>2023</v>
      </c>
      <c r="C52" t="s">
        <v>9</v>
      </c>
      <c r="D52" t="s">
        <v>10</v>
      </c>
      <c r="E52">
        <v>282520</v>
      </c>
      <c r="F52" t="s">
        <v>14</v>
      </c>
      <c r="G52">
        <v>0.47099999999999997</v>
      </c>
      <c r="H52" t="s">
        <v>12</v>
      </c>
      <c r="I52">
        <v>5.8380000000000001</v>
      </c>
      <c r="J52">
        <v>8.07</v>
      </c>
    </row>
    <row r="53" spans="1:10" x14ac:dyDescent="0.3">
      <c r="A53" s="1">
        <v>51</v>
      </c>
      <c r="B53">
        <v>2023</v>
      </c>
      <c r="C53" t="s">
        <v>9</v>
      </c>
      <c r="D53" t="s">
        <v>15</v>
      </c>
      <c r="E53">
        <v>2504</v>
      </c>
      <c r="F53" t="s">
        <v>11</v>
      </c>
      <c r="G53">
        <v>15.183</v>
      </c>
      <c r="H53" t="s">
        <v>12</v>
      </c>
      <c r="I53">
        <v>34.902999999999999</v>
      </c>
      <c r="J53">
        <v>43.5</v>
      </c>
    </row>
    <row r="54" spans="1:10" x14ac:dyDescent="0.3">
      <c r="A54" s="1">
        <v>52</v>
      </c>
      <c r="B54">
        <v>2023</v>
      </c>
      <c r="C54" t="s">
        <v>9</v>
      </c>
      <c r="D54" t="s">
        <v>15</v>
      </c>
      <c r="E54">
        <v>2822</v>
      </c>
      <c r="F54" t="s">
        <v>13</v>
      </c>
      <c r="G54">
        <v>1.8169999999999999</v>
      </c>
      <c r="H54" t="s">
        <v>12</v>
      </c>
      <c r="I54">
        <v>11.452</v>
      </c>
      <c r="J54">
        <v>15.87</v>
      </c>
    </row>
    <row r="55" spans="1:10" x14ac:dyDescent="0.3">
      <c r="A55" s="1">
        <v>53</v>
      </c>
      <c r="B55">
        <v>2023</v>
      </c>
      <c r="C55" t="s">
        <v>9</v>
      </c>
      <c r="D55" t="s">
        <v>15</v>
      </c>
      <c r="E55">
        <v>282520</v>
      </c>
      <c r="F55" t="s">
        <v>14</v>
      </c>
      <c r="G55">
        <v>5.2380000000000004</v>
      </c>
      <c r="H55" t="s">
        <v>12</v>
      </c>
      <c r="I55">
        <v>38.31</v>
      </c>
      <c r="J55">
        <v>13.67</v>
      </c>
    </row>
    <row r="56" spans="1:10" x14ac:dyDescent="0.3">
      <c r="A56" s="1">
        <v>54</v>
      </c>
      <c r="B56">
        <v>2023</v>
      </c>
      <c r="C56" t="s">
        <v>9</v>
      </c>
      <c r="D56" t="s">
        <v>16</v>
      </c>
      <c r="E56">
        <v>2504</v>
      </c>
      <c r="F56" t="s">
        <v>11</v>
      </c>
      <c r="G56">
        <v>73.926000000000002</v>
      </c>
      <c r="H56" t="s">
        <v>12</v>
      </c>
      <c r="I56">
        <v>82.04</v>
      </c>
      <c r="J56">
        <v>90.11</v>
      </c>
    </row>
    <row r="57" spans="1:10" x14ac:dyDescent="0.3">
      <c r="A57" s="1">
        <v>55</v>
      </c>
      <c r="B57">
        <v>2023</v>
      </c>
      <c r="C57" t="s">
        <v>9</v>
      </c>
      <c r="D57" t="s">
        <v>16</v>
      </c>
      <c r="E57">
        <v>2822</v>
      </c>
      <c r="F57" t="s">
        <v>13</v>
      </c>
      <c r="G57">
        <v>4.03</v>
      </c>
      <c r="H57" t="s">
        <v>12</v>
      </c>
      <c r="I57">
        <v>25.222999999999999</v>
      </c>
      <c r="J57">
        <v>15.98</v>
      </c>
    </row>
    <row r="58" spans="1:10" x14ac:dyDescent="0.3">
      <c r="A58" s="1">
        <v>56</v>
      </c>
      <c r="B58">
        <v>2023</v>
      </c>
      <c r="C58" t="s">
        <v>9</v>
      </c>
      <c r="D58" t="s">
        <v>16</v>
      </c>
      <c r="E58">
        <v>282520</v>
      </c>
      <c r="F58" t="s">
        <v>14</v>
      </c>
      <c r="G58">
        <v>1152.1410000000001</v>
      </c>
      <c r="H58" t="s">
        <v>12</v>
      </c>
      <c r="I58">
        <v>1341.538</v>
      </c>
      <c r="J58">
        <v>85.88</v>
      </c>
    </row>
    <row r="59" spans="1:10" x14ac:dyDescent="0.3">
      <c r="A59" s="1">
        <v>57</v>
      </c>
      <c r="B59">
        <v>2023</v>
      </c>
      <c r="C59" t="s">
        <v>9</v>
      </c>
      <c r="D59" t="s">
        <v>17</v>
      </c>
      <c r="E59">
        <v>2504</v>
      </c>
      <c r="F59" t="s">
        <v>11</v>
      </c>
      <c r="G59">
        <v>113.27</v>
      </c>
      <c r="H59" t="s">
        <v>12</v>
      </c>
      <c r="I59">
        <v>162.90199999999999</v>
      </c>
      <c r="J59">
        <v>69.53</v>
      </c>
    </row>
    <row r="60" spans="1:10" x14ac:dyDescent="0.3">
      <c r="A60" s="1">
        <v>58</v>
      </c>
      <c r="B60">
        <v>2023</v>
      </c>
      <c r="C60" t="s">
        <v>9</v>
      </c>
      <c r="D60" t="s">
        <v>17</v>
      </c>
      <c r="E60">
        <v>2822</v>
      </c>
      <c r="F60" t="s">
        <v>13</v>
      </c>
      <c r="G60">
        <v>1.1140000000000001</v>
      </c>
      <c r="H60" t="s">
        <v>12</v>
      </c>
      <c r="I60">
        <v>36.771000000000001</v>
      </c>
      <c r="J60">
        <v>3.03</v>
      </c>
    </row>
    <row r="61" spans="1:10" x14ac:dyDescent="0.3">
      <c r="A61" s="1">
        <v>59</v>
      </c>
      <c r="B61">
        <v>2023</v>
      </c>
      <c r="C61" t="s">
        <v>9</v>
      </c>
      <c r="D61" t="s">
        <v>17</v>
      </c>
      <c r="E61">
        <v>282520</v>
      </c>
      <c r="F61" t="s">
        <v>14</v>
      </c>
      <c r="G61">
        <v>1.224</v>
      </c>
      <c r="H61" t="s">
        <v>12</v>
      </c>
      <c r="I61">
        <v>44.649000000000001</v>
      </c>
      <c r="J61">
        <v>2.74</v>
      </c>
    </row>
    <row r="62" spans="1:10" x14ac:dyDescent="0.3">
      <c r="A62" s="1">
        <v>60</v>
      </c>
      <c r="B62">
        <v>2024</v>
      </c>
      <c r="C62" t="s">
        <v>9</v>
      </c>
      <c r="D62" t="s">
        <v>10</v>
      </c>
      <c r="E62">
        <v>2504</v>
      </c>
      <c r="F62" t="s">
        <v>11</v>
      </c>
      <c r="G62">
        <v>0.434</v>
      </c>
      <c r="H62" t="s">
        <v>12</v>
      </c>
      <c r="I62">
        <v>0.93799999999999994</v>
      </c>
      <c r="J62">
        <v>46.27</v>
      </c>
    </row>
    <row r="63" spans="1:10" x14ac:dyDescent="0.3">
      <c r="A63" s="1">
        <v>61</v>
      </c>
      <c r="B63">
        <v>2024</v>
      </c>
      <c r="C63" t="s">
        <v>9</v>
      </c>
      <c r="D63" t="s">
        <v>10</v>
      </c>
      <c r="E63">
        <v>2822</v>
      </c>
      <c r="F63" t="s">
        <v>13</v>
      </c>
      <c r="G63">
        <v>0.16800000000000001</v>
      </c>
      <c r="H63" t="s">
        <v>12</v>
      </c>
      <c r="I63">
        <v>0.28000000000000003</v>
      </c>
      <c r="J63">
        <v>60</v>
      </c>
    </row>
    <row r="64" spans="1:10" x14ac:dyDescent="0.3">
      <c r="A64" s="1">
        <v>62</v>
      </c>
      <c r="B64">
        <v>2024</v>
      </c>
      <c r="C64" t="s">
        <v>9</v>
      </c>
      <c r="D64" t="s">
        <v>10</v>
      </c>
      <c r="E64">
        <v>282520</v>
      </c>
      <c r="F64" t="s">
        <v>14</v>
      </c>
      <c r="G64">
        <v>0.28799999999999998</v>
      </c>
      <c r="H64" t="s">
        <v>12</v>
      </c>
      <c r="I64">
        <v>1.6919999999999999</v>
      </c>
      <c r="J64">
        <v>17.02</v>
      </c>
    </row>
    <row r="65" spans="1:10" x14ac:dyDescent="0.3">
      <c r="A65" s="1">
        <v>63</v>
      </c>
      <c r="B65">
        <v>2024</v>
      </c>
      <c r="C65" t="s">
        <v>9</v>
      </c>
      <c r="D65" t="s">
        <v>15</v>
      </c>
      <c r="E65">
        <v>2504</v>
      </c>
      <c r="F65" t="s">
        <v>11</v>
      </c>
      <c r="G65">
        <v>4.4829999999999997</v>
      </c>
      <c r="H65" t="s">
        <v>12</v>
      </c>
      <c r="I65">
        <v>43.17</v>
      </c>
      <c r="J65">
        <v>10.38</v>
      </c>
    </row>
    <row r="66" spans="1:10" x14ac:dyDescent="0.3">
      <c r="A66" s="1">
        <v>64</v>
      </c>
      <c r="B66">
        <v>2024</v>
      </c>
      <c r="C66" t="s">
        <v>9</v>
      </c>
      <c r="D66" t="s">
        <v>15</v>
      </c>
      <c r="E66">
        <v>2822</v>
      </c>
      <c r="F66" t="s">
        <v>13</v>
      </c>
      <c r="G66">
        <v>1.5249999999999999</v>
      </c>
      <c r="H66" t="s">
        <v>12</v>
      </c>
      <c r="I66">
        <v>8.8559999999999999</v>
      </c>
      <c r="J66">
        <v>17.22</v>
      </c>
    </row>
    <row r="67" spans="1:10" x14ac:dyDescent="0.3">
      <c r="A67" s="1">
        <v>65</v>
      </c>
      <c r="B67">
        <v>2024</v>
      </c>
      <c r="C67" t="s">
        <v>9</v>
      </c>
      <c r="D67" t="s">
        <v>15</v>
      </c>
      <c r="E67">
        <v>282520</v>
      </c>
      <c r="F67" t="s">
        <v>14</v>
      </c>
      <c r="G67">
        <v>8.8320000000000007</v>
      </c>
      <c r="H67" t="s">
        <v>12</v>
      </c>
      <c r="I67">
        <v>22.405000000000001</v>
      </c>
      <c r="J67">
        <v>39.42</v>
      </c>
    </row>
    <row r="68" spans="1:10" x14ac:dyDescent="0.3">
      <c r="A68" s="1">
        <v>66</v>
      </c>
      <c r="B68">
        <v>2024</v>
      </c>
      <c r="C68" t="s">
        <v>9</v>
      </c>
      <c r="D68" t="s">
        <v>16</v>
      </c>
      <c r="E68">
        <v>2504</v>
      </c>
      <c r="F68" t="s">
        <v>11</v>
      </c>
      <c r="G68">
        <v>53.601999999999997</v>
      </c>
      <c r="H68" t="s">
        <v>12</v>
      </c>
      <c r="I68">
        <v>61.472999999999999</v>
      </c>
      <c r="J68">
        <v>87.2</v>
      </c>
    </row>
    <row r="69" spans="1:10" x14ac:dyDescent="0.3">
      <c r="A69" s="1">
        <v>67</v>
      </c>
      <c r="B69">
        <v>2024</v>
      </c>
      <c r="C69" t="s">
        <v>9</v>
      </c>
      <c r="D69" t="s">
        <v>16</v>
      </c>
      <c r="E69">
        <v>2822</v>
      </c>
      <c r="F69" t="s">
        <v>13</v>
      </c>
      <c r="G69">
        <v>1.8</v>
      </c>
      <c r="H69" t="s">
        <v>12</v>
      </c>
      <c r="I69">
        <v>14.423999999999999</v>
      </c>
      <c r="J69">
        <v>12.48</v>
      </c>
    </row>
    <row r="70" spans="1:10" x14ac:dyDescent="0.3">
      <c r="A70" s="1">
        <v>68</v>
      </c>
      <c r="B70">
        <v>2024</v>
      </c>
      <c r="C70" t="s">
        <v>9</v>
      </c>
      <c r="D70" t="s">
        <v>16</v>
      </c>
      <c r="E70">
        <v>282520</v>
      </c>
      <c r="F70" t="s">
        <v>14</v>
      </c>
      <c r="G70">
        <v>525.12099999999998</v>
      </c>
      <c r="H70" t="s">
        <v>12</v>
      </c>
      <c r="I70">
        <v>624.5</v>
      </c>
      <c r="J70">
        <v>84.09</v>
      </c>
    </row>
    <row r="71" spans="1:10" x14ac:dyDescent="0.3">
      <c r="A71" s="1">
        <v>69</v>
      </c>
      <c r="B71">
        <v>2024</v>
      </c>
      <c r="C71" t="s">
        <v>9</v>
      </c>
      <c r="D71" t="s">
        <v>17</v>
      </c>
      <c r="E71">
        <v>2504</v>
      </c>
      <c r="F71" t="s">
        <v>11</v>
      </c>
      <c r="G71">
        <v>100.31</v>
      </c>
      <c r="H71" t="s">
        <v>12</v>
      </c>
      <c r="I71">
        <v>148.83699999999999</v>
      </c>
      <c r="J71">
        <v>67.400000000000006</v>
      </c>
    </row>
    <row r="72" spans="1:10" x14ac:dyDescent="0.3">
      <c r="A72" s="1">
        <v>70</v>
      </c>
      <c r="B72">
        <v>2024</v>
      </c>
      <c r="C72" t="s">
        <v>9</v>
      </c>
      <c r="D72" t="s">
        <v>17</v>
      </c>
      <c r="E72">
        <v>2822</v>
      </c>
      <c r="F72" t="s">
        <v>13</v>
      </c>
      <c r="G72">
        <v>0.92800000000000005</v>
      </c>
      <c r="H72" t="s">
        <v>12</v>
      </c>
      <c r="I72">
        <v>36.512</v>
      </c>
      <c r="J72">
        <v>2.54</v>
      </c>
    </row>
    <row r="73" spans="1:10" x14ac:dyDescent="0.3">
      <c r="A73" s="1">
        <v>71</v>
      </c>
      <c r="B73">
        <v>2024</v>
      </c>
      <c r="C73" t="s">
        <v>9</v>
      </c>
      <c r="D73" t="s">
        <v>17</v>
      </c>
      <c r="E73">
        <v>282520</v>
      </c>
      <c r="F73" t="s">
        <v>14</v>
      </c>
      <c r="G73">
        <v>2.0779999999999998</v>
      </c>
      <c r="H73" t="s">
        <v>12</v>
      </c>
      <c r="I73">
        <v>11.776</v>
      </c>
      <c r="J73">
        <v>17.649999999999999</v>
      </c>
    </row>
  </sheetData>
  <autoFilter ref="A1:J73" xr:uid="{00000000-0001-0000-0000-000000000000}">
    <filterColumn colId="1">
      <filters>
        <filter val="2022"/>
        <filter val="2023"/>
        <filter val="2024"/>
      </filters>
    </filterColumn>
  </autoFilter>
  <conditionalFormatting sqref="C25">
    <cfRule type="expression" dxfId="1" priority="2">
      <formula>Australia</formula>
    </cfRule>
  </conditionalFormatting>
  <conditionalFormatting sqref="D1:D1048576">
    <cfRule type="expression" dxfId="0" priority="1">
      <formula>Australia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A628-1801-4A6A-A980-5B6F15811EAF}">
  <dimension ref="A1:E13"/>
  <sheetViews>
    <sheetView workbookViewId="0">
      <selection activeCell="G10" sqref="G10"/>
    </sheetView>
  </sheetViews>
  <sheetFormatPr defaultRowHeight="14.4" x14ac:dyDescent="0.3"/>
  <sheetData>
    <row r="1" spans="1:5" x14ac:dyDescent="0.3">
      <c r="A1" s="4" t="s">
        <v>2</v>
      </c>
      <c r="B1" s="4" t="s">
        <v>4</v>
      </c>
      <c r="C1" s="4" t="s">
        <v>18</v>
      </c>
      <c r="D1" s="4" t="s">
        <v>19</v>
      </c>
      <c r="E1" s="4" t="s">
        <v>20</v>
      </c>
    </row>
    <row r="2" spans="1:5" x14ac:dyDescent="0.3">
      <c r="A2" s="3" t="s">
        <v>10</v>
      </c>
      <c r="B2" s="3" t="s">
        <v>11</v>
      </c>
      <c r="C2" s="3">
        <v>28.05</v>
      </c>
      <c r="D2" s="3">
        <v>46.27</v>
      </c>
      <c r="E2" s="3">
        <v>10.53</v>
      </c>
    </row>
    <row r="3" spans="1:5" x14ac:dyDescent="0.3">
      <c r="A3" s="3" t="s">
        <v>10</v>
      </c>
      <c r="B3" s="3" t="s">
        <v>13</v>
      </c>
      <c r="C3" s="3">
        <v>86.03</v>
      </c>
      <c r="D3" s="3">
        <v>60</v>
      </c>
      <c r="E3" s="3">
        <v>-6.95</v>
      </c>
    </row>
    <row r="4" spans="1:5" x14ac:dyDescent="0.3">
      <c r="A4" s="3" t="s">
        <v>10</v>
      </c>
      <c r="B4" s="3" t="s">
        <v>14</v>
      </c>
      <c r="C4" s="3">
        <v>24.83</v>
      </c>
      <c r="D4" s="3">
        <v>17.02</v>
      </c>
      <c r="E4" s="3">
        <v>-7.28</v>
      </c>
    </row>
    <row r="5" spans="1:5" x14ac:dyDescent="0.3">
      <c r="A5" s="3" t="s">
        <v>15</v>
      </c>
      <c r="B5" s="3" t="s">
        <v>11</v>
      </c>
      <c r="C5" s="3">
        <v>50.37</v>
      </c>
      <c r="D5" s="3">
        <v>10.38</v>
      </c>
      <c r="E5" s="3">
        <v>-27.09</v>
      </c>
    </row>
    <row r="6" spans="1:5" x14ac:dyDescent="0.3">
      <c r="A6" s="3" t="s">
        <v>15</v>
      </c>
      <c r="B6" s="3" t="s">
        <v>13</v>
      </c>
      <c r="C6" s="3">
        <v>10.64</v>
      </c>
      <c r="D6" s="3">
        <v>17.22</v>
      </c>
      <c r="E6" s="3">
        <v>10.11</v>
      </c>
    </row>
    <row r="7" spans="1:5" x14ac:dyDescent="0.3">
      <c r="A7" s="3" t="s">
        <v>15</v>
      </c>
      <c r="B7" s="3" t="s">
        <v>14</v>
      </c>
      <c r="C7" s="3">
        <v>26.36</v>
      </c>
      <c r="D7" s="3">
        <v>39.42</v>
      </c>
      <c r="E7" s="3">
        <v>8.3800000000000008</v>
      </c>
    </row>
    <row r="8" spans="1:5" x14ac:dyDescent="0.3">
      <c r="A8" s="3" t="s">
        <v>16</v>
      </c>
      <c r="B8" s="3" t="s">
        <v>11</v>
      </c>
      <c r="C8" s="3">
        <v>92.75</v>
      </c>
      <c r="D8" s="3">
        <v>87.2</v>
      </c>
      <c r="E8" s="3">
        <v>-1.23</v>
      </c>
    </row>
    <row r="9" spans="1:5" x14ac:dyDescent="0.3">
      <c r="A9" s="3" t="s">
        <v>16</v>
      </c>
      <c r="B9" s="3" t="s">
        <v>13</v>
      </c>
      <c r="C9" s="3">
        <v>39.340000000000003</v>
      </c>
      <c r="D9" s="3">
        <v>12.48</v>
      </c>
      <c r="E9" s="3">
        <v>-20.52</v>
      </c>
    </row>
    <row r="10" spans="1:5" x14ac:dyDescent="0.3">
      <c r="A10" s="3" t="s">
        <v>16</v>
      </c>
      <c r="B10" s="3" t="s">
        <v>14</v>
      </c>
      <c r="C10" s="3">
        <v>79</v>
      </c>
      <c r="D10" s="3">
        <v>84.09</v>
      </c>
      <c r="E10" s="3">
        <v>1.26</v>
      </c>
    </row>
    <row r="11" spans="1:5" x14ac:dyDescent="0.3">
      <c r="A11" s="3" t="s">
        <v>17</v>
      </c>
      <c r="B11" s="3" t="s">
        <v>11</v>
      </c>
      <c r="C11" s="3">
        <v>40.799999999999997</v>
      </c>
      <c r="D11" s="3">
        <v>67.400000000000006</v>
      </c>
      <c r="E11" s="3">
        <v>10.56</v>
      </c>
    </row>
    <row r="12" spans="1:5" x14ac:dyDescent="0.3">
      <c r="A12" s="3" t="s">
        <v>17</v>
      </c>
      <c r="B12" s="3" t="s">
        <v>13</v>
      </c>
      <c r="C12" s="3">
        <v>11.43</v>
      </c>
      <c r="D12" s="3">
        <v>2.54</v>
      </c>
      <c r="E12" s="3">
        <v>-25.98</v>
      </c>
    </row>
    <row r="13" spans="1:5" x14ac:dyDescent="0.3">
      <c r="A13" s="3" t="s">
        <v>17</v>
      </c>
      <c r="B13" s="3" t="s">
        <v>14</v>
      </c>
      <c r="C13" s="3">
        <v>9.9700000000000006</v>
      </c>
      <c r="D13" s="3">
        <v>17.649999999999999</v>
      </c>
      <c r="E13" s="3">
        <v>12.1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7652-88AE-496A-BDAC-ADFAC0F08866}">
  <dimension ref="A1:D7"/>
  <sheetViews>
    <sheetView workbookViewId="0">
      <selection activeCell="H2" sqref="H2"/>
    </sheetView>
  </sheetViews>
  <sheetFormatPr defaultRowHeight="14.4" x14ac:dyDescent="0.3"/>
  <cols>
    <col min="1" max="1" width="13.77734375" customWidth="1"/>
    <col min="2" max="2" width="15.109375" customWidth="1"/>
    <col min="3" max="3" width="14.77734375" bestFit="1" customWidth="1"/>
  </cols>
  <sheetData>
    <row r="1" spans="1:4" ht="28.8" x14ac:dyDescent="0.3">
      <c r="A1" s="5" t="s">
        <v>22</v>
      </c>
      <c r="B1" s="5" t="s">
        <v>23</v>
      </c>
      <c r="C1" s="5" t="s">
        <v>24</v>
      </c>
    </row>
    <row r="2" spans="1:4" ht="57.6" x14ac:dyDescent="0.3">
      <c r="A2" s="6" t="s">
        <v>25</v>
      </c>
      <c r="B2" s="6" t="s">
        <v>26</v>
      </c>
      <c r="C2" s="6" t="s">
        <v>27</v>
      </c>
      <c r="D2" s="2"/>
    </row>
    <row r="3" spans="1:4" ht="57.6" x14ac:dyDescent="0.3">
      <c r="A3" s="6" t="s">
        <v>28</v>
      </c>
      <c r="B3" s="6" t="s">
        <v>29</v>
      </c>
      <c r="C3" s="6" t="s">
        <v>30</v>
      </c>
      <c r="D3" s="2"/>
    </row>
    <row r="4" spans="1:4" ht="57.6" x14ac:dyDescent="0.3">
      <c r="A4" s="6" t="s">
        <v>31</v>
      </c>
      <c r="B4" s="6" t="s">
        <v>32</v>
      </c>
      <c r="C4" s="6" t="s">
        <v>33</v>
      </c>
      <c r="D4" s="2"/>
    </row>
    <row r="5" spans="1:4" ht="57.6" x14ac:dyDescent="0.3">
      <c r="A5" s="6" t="s">
        <v>34</v>
      </c>
      <c r="B5" s="6" t="s">
        <v>35</v>
      </c>
      <c r="C5" s="6" t="s">
        <v>36</v>
      </c>
      <c r="D5" s="2"/>
    </row>
    <row r="6" spans="1:4" ht="72" x14ac:dyDescent="0.3">
      <c r="A6" s="6" t="s">
        <v>37</v>
      </c>
      <c r="B6" s="6" t="s">
        <v>35</v>
      </c>
      <c r="C6" s="6" t="s">
        <v>38</v>
      </c>
      <c r="D6" s="2"/>
    </row>
    <row r="7" spans="1:4" ht="43.2" x14ac:dyDescent="0.3">
      <c r="A7" s="6" t="s">
        <v>21</v>
      </c>
      <c r="B7" s="6" t="s">
        <v>39</v>
      </c>
      <c r="C7" s="6" t="s">
        <v>40</v>
      </c>
      <c r="D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E149-378C-405F-B34C-1683CCDA1F29}">
  <dimension ref="A1:B8"/>
  <sheetViews>
    <sheetView tabSelected="1" workbookViewId="0">
      <selection activeCell="C8" sqref="C8"/>
    </sheetView>
  </sheetViews>
  <sheetFormatPr defaultRowHeight="14.4" x14ac:dyDescent="0.3"/>
  <cols>
    <col min="1" max="1" width="8" bestFit="1" customWidth="1"/>
    <col min="2" max="2" width="29.5546875" customWidth="1"/>
  </cols>
  <sheetData>
    <row r="1" spans="1:2" x14ac:dyDescent="0.3">
      <c r="A1" s="5" t="s">
        <v>41</v>
      </c>
      <c r="B1" s="5" t="s">
        <v>42</v>
      </c>
    </row>
    <row r="2" spans="1:2" ht="28.8" x14ac:dyDescent="0.3">
      <c r="A2" s="7">
        <v>45139</v>
      </c>
      <c r="B2" s="6" t="s">
        <v>43</v>
      </c>
    </row>
    <row r="3" spans="1:2" ht="28.8" x14ac:dyDescent="0.3">
      <c r="A3" s="6" t="s">
        <v>44</v>
      </c>
      <c r="B3" s="6" t="s">
        <v>45</v>
      </c>
    </row>
    <row r="4" spans="1:2" ht="28.8" x14ac:dyDescent="0.3">
      <c r="A4" s="6">
        <v>2024</v>
      </c>
      <c r="B4" s="6" t="s">
        <v>46</v>
      </c>
    </row>
    <row r="5" spans="1:2" ht="28.8" x14ac:dyDescent="0.3">
      <c r="A5" s="7">
        <v>46143</v>
      </c>
      <c r="B5" s="6" t="s">
        <v>47</v>
      </c>
    </row>
    <row r="6" spans="1:2" ht="28.8" x14ac:dyDescent="0.3">
      <c r="A6" s="6" t="s">
        <v>48</v>
      </c>
      <c r="B6" s="6" t="s">
        <v>49</v>
      </c>
    </row>
    <row r="8" spans="1:2" x14ac:dyDescent="0.3">
      <c r="A8" s="3"/>
      <c r="B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Dependency</vt:lpstr>
      <vt:lpstr>2024_dependency</vt:lpstr>
      <vt:lpstr>Project_Stats</vt:lpstr>
      <vt:lpstr>China_restrictions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Areesha Firdaus</cp:lastModifiedBy>
  <dcterms:created xsi:type="dcterms:W3CDTF">2026-06-04T15:33:21Z</dcterms:created>
  <dcterms:modified xsi:type="dcterms:W3CDTF">2026-06-07T04:15:47Z</dcterms:modified>
</cp:coreProperties>
</file>